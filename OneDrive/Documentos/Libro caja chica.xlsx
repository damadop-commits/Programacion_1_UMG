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ocumentos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1" l="1"/>
  <c r="G15" i="1"/>
  <c r="H15" i="1" s="1"/>
  <c r="G16" i="1"/>
  <c r="H16" i="1" s="1"/>
  <c r="G14" i="1"/>
  <c r="H14" i="1" s="1"/>
  <c r="G13" i="1"/>
  <c r="H13" i="1" s="1"/>
  <c r="G12" i="1"/>
  <c r="H12" i="1" s="1"/>
  <c r="G11" i="1"/>
  <c r="H10" i="1"/>
  <c r="G17" i="1" l="1"/>
  <c r="H17" i="1"/>
  <c r="H11" i="1"/>
</calcChain>
</file>

<file path=xl/sharedStrings.xml><?xml version="1.0" encoding="utf-8"?>
<sst xmlns="http://schemas.openxmlformats.org/spreadsheetml/2006/main" count="35" uniqueCount="33">
  <si>
    <t>Fecha</t>
  </si>
  <si>
    <t>Empresa</t>
  </si>
  <si>
    <t>No. de Cmprobante</t>
  </si>
  <si>
    <t>Concepto</t>
  </si>
  <si>
    <t>Monto</t>
  </si>
  <si>
    <t>IVA</t>
  </si>
  <si>
    <t>Total</t>
  </si>
  <si>
    <t>Recolectores de Basura</t>
  </si>
  <si>
    <t>Utiles de Limpieza</t>
  </si>
  <si>
    <t>Adelyn Angelica Daney Amado Pelaez 4to. B</t>
  </si>
  <si>
    <t>REPORTE DE CAJA CHICA</t>
  </si>
  <si>
    <t>Almacen Estrella</t>
  </si>
  <si>
    <t>Papeleria Arriiola</t>
  </si>
  <si>
    <t>Factura No. 435</t>
  </si>
  <si>
    <t>Almacen Paiz</t>
  </si>
  <si>
    <t>Factur No. 754</t>
  </si>
  <si>
    <t>Factura No. 123</t>
  </si>
  <si>
    <t>Librería Progreso</t>
  </si>
  <si>
    <t>Factura No.487</t>
  </si>
  <si>
    <t>Utiles de Oficina</t>
  </si>
  <si>
    <t>La Paleta</t>
  </si>
  <si>
    <t>Factura No. 111</t>
  </si>
  <si>
    <t>Pintura</t>
  </si>
  <si>
    <t>Estraccion de Basura</t>
  </si>
  <si>
    <t xml:space="preserve"> 3 Lapiceros</t>
  </si>
  <si>
    <t>Factura No. 823</t>
  </si>
  <si>
    <t>Papel Para Fotocopiadora</t>
  </si>
  <si>
    <t>_____________</t>
  </si>
  <si>
    <t>Factura No. 628</t>
  </si>
  <si>
    <t>Servicio de Limpieza de Vidrios</t>
  </si>
  <si>
    <t>Contador Autorizado</t>
  </si>
  <si>
    <t>Aprovacion de Gerencia</t>
  </si>
  <si>
    <t>Encargado de Fondo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</si>
</sst>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Q-100A]* #,##0.00_-;\-[$Q-100A]* #,##0.00_-;_-[$Q-100A]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7" xfId="0" applyBorder="1"/>
    <xf numFmtId="0" fontId="0" fillId="0" borderId="0" xfId="0" applyBorder="1"/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628650</xdr:colOff>
      <xdr:row>21</xdr:row>
      <xdr:rowOff>0</xdr:rowOff>
    </xdr:from>
    <xdr:to>
      <xdr:col>5</xdr:col>
      <xdr:colOff>9525</xdr:colOff>
      <xdr:row>21</xdr:row>
      <xdr:rowOff>0</xdr:rowOff>
    </xdr:to>
    <xdr:cxnSp macro="">
      <xdr:nvCxnSpPr>
        <xdr:cNvPr id="2" name="Conector recto 1"/>
        <xdr:cNvCxnSpPr/>
      </xdr:nvCxnSpPr>
      <xdr:spPr>
        <a:xfrm flipH="1">
          <a:off x="3067050" y="5457825"/>
          <a:ext cx="571500" cy="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256442</xdr:colOff>
      <xdr:row>19</xdr:row>
      <xdr:rowOff>12212</xdr:rowOff>
    </xdr:from>
    <xdr:to>
      <xdr:col>4</xdr:col>
      <xdr:colOff>1256567</xdr:colOff>
      <xdr:row>20</xdr:row>
      <xdr:rowOff>194971</xdr:rowOff>
    </xdr:to>
    <xdr:pic>
      <xdr:nvPicPr>
        <xdr:cNvPr id="7" name="Imagen 6" descr="falso autógrafo muestras dibujado a mano firmas, ejemplos de ...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7404" y="4982308"/>
          <a:ext cx="1000125" cy="3781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305288</xdr:colOff>
      <xdr:row>18</xdr:row>
      <xdr:rowOff>183172</xdr:rowOff>
    </xdr:from>
    <xdr:to>
      <xdr:col>7</xdr:col>
      <xdr:colOff>392575</xdr:colOff>
      <xdr:row>21</xdr:row>
      <xdr:rowOff>2825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-1" t="20787" r="5711" b="22471"/>
        <a:stretch/>
      </xdr:blipFill>
      <xdr:spPr>
        <a:xfrm>
          <a:off x="7913076" y="4957884"/>
          <a:ext cx="844402" cy="405807"/>
        </a:xfrm>
        <a:prstGeom prst="rect">
          <a:avLst/>
        </a:prstGeom>
      </xdr:spPr>
    </xdr:pic>
    <xdr:clientData/>
  </xdr:twoCellAnchor>
  <xdr:twoCellAnchor editAs="oneCell">
    <xdr:from>
      <xdr:col>1</xdr:col>
      <xdr:colOff>305289</xdr:colOff>
      <xdr:row>18</xdr:row>
      <xdr:rowOff>61056</xdr:rowOff>
    </xdr:from>
    <xdr:to>
      <xdr:col>2</xdr:col>
      <xdr:colOff>598560</xdr:colOff>
      <xdr:row>22</xdr:row>
      <xdr:rowOff>76043</xdr:rowOff>
    </xdr:to>
    <xdr:pic>
      <xdr:nvPicPr>
        <xdr:cNvPr id="9" name="Imagen 8" descr="Archivo:Firmas cover.pn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642382">
          <a:off x="2576635" y="4835768"/>
          <a:ext cx="1050387" cy="796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293077</xdr:colOff>
      <xdr:row>22</xdr:row>
      <xdr:rowOff>85480</xdr:rowOff>
    </xdr:from>
    <xdr:to>
      <xdr:col>7</xdr:col>
      <xdr:colOff>736112</xdr:colOff>
      <xdr:row>28</xdr:row>
      <xdr:rowOff>75223</xdr:rowOff>
    </xdr:to>
    <xdr:pic>
      <xdr:nvPicPr>
        <xdr:cNvPr id="10" name="Imagen 9" descr="8 ideas de Sellos para Empresas | sellos, sello empresa ...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4" t="5422" r="12650" b="16265"/>
        <a:stretch/>
      </xdr:blipFill>
      <xdr:spPr bwMode="auto">
        <a:xfrm>
          <a:off x="6386635" y="5079999"/>
          <a:ext cx="1200150" cy="1162051"/>
        </a:xfrm>
        <a:prstGeom prst="ellips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3"/>
  <sheetViews>
    <sheetView tabSelected="1" topLeftCell="A3" zoomScale="78" zoomScaleNormal="78" workbookViewId="0">
      <selection activeCell="B9" sqref="B9"/>
    </sheetView>
  </sheetViews>
  <sheetFormatPr baseColWidth="10" defaultRowHeight="15" x14ac:dyDescent="0.25"/>
  <cols>
    <col min="3" max="3" width="16.140625" customWidth="1"/>
    <col min="4" max="4" width="17.28515625" customWidth="1"/>
    <col min="5" max="5" width="24" bestFit="1" customWidth="1"/>
  </cols>
  <sheetData>
    <row r="2" spans="2:8" x14ac:dyDescent="0.25">
      <c r="B2" s="17" t="s">
        <v>9</v>
      </c>
      <c r="C2" s="17"/>
      <c r="D2" s="17"/>
      <c r="E2" s="17"/>
      <c r="F2" s="17"/>
      <c r="G2" s="17"/>
      <c r="H2" s="17"/>
    </row>
    <row r="3" spans="2:8" x14ac:dyDescent="0.25">
      <c r="B3" s="10"/>
      <c r="C3" s="10"/>
      <c r="D3" s="10"/>
      <c r="E3" s="10"/>
      <c r="F3" s="10"/>
      <c r="G3" s="10"/>
      <c r="H3" s="10"/>
    </row>
    <row r="4" spans="2:8" ht="18.75" x14ac:dyDescent="0.3">
      <c r="B4" s="19" t="s">
        <v>11</v>
      </c>
      <c r="C4" s="19"/>
      <c r="D4" s="19"/>
      <c r="E4" s="19"/>
      <c r="F4" s="19"/>
      <c r="G4" s="19"/>
      <c r="H4" s="19"/>
    </row>
    <row r="5" spans="2:8" x14ac:dyDescent="0.25">
      <c r="B5" s="17"/>
      <c r="C5" s="17"/>
      <c r="D5" s="17"/>
      <c r="E5" s="17"/>
      <c r="F5" s="17"/>
      <c r="G5" s="17"/>
      <c r="H5" s="17"/>
    </row>
    <row r="6" spans="2:8" ht="23.25" x14ac:dyDescent="0.35">
      <c r="B6" s="20" t="s">
        <v>10</v>
      </c>
      <c r="C6" s="20"/>
      <c r="D6" s="20"/>
      <c r="E6" s="20"/>
      <c r="F6" s="20"/>
      <c r="G6" s="20"/>
      <c r="H6" s="20"/>
    </row>
    <row r="7" spans="2:8" x14ac:dyDescent="0.25">
      <c r="B7" s="17"/>
      <c r="C7" s="17"/>
      <c r="D7" s="17"/>
      <c r="E7" s="17"/>
      <c r="F7" s="17"/>
      <c r="G7" s="17"/>
      <c r="H7" s="17"/>
    </row>
    <row r="8" spans="2:8" x14ac:dyDescent="0.25">
      <c r="B8" s="17"/>
      <c r="C8" s="17"/>
      <c r="D8" s="17"/>
      <c r="E8" s="17"/>
      <c r="F8" s="17"/>
      <c r="G8" s="17"/>
      <c r="H8" s="17"/>
    </row>
    <row r="9" spans="2:8" x14ac:dyDescent="0.25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6</v>
      </c>
    </row>
    <row r="10" spans="2:8" ht="30" x14ac:dyDescent="0.25">
      <c r="B10" s="2">
        <v>45691</v>
      </c>
      <c r="C10" s="3" t="s">
        <v>12</v>
      </c>
      <c r="D10" s="4" t="s">
        <v>13</v>
      </c>
      <c r="E10" s="3" t="s">
        <v>24</v>
      </c>
      <c r="F10" s="5">
        <v>179</v>
      </c>
      <c r="G10" s="5">
        <v>21.48</v>
      </c>
      <c r="H10" s="5">
        <f>SUM(F10:G10)</f>
        <v>200.48</v>
      </c>
    </row>
    <row r="11" spans="2:8" x14ac:dyDescent="0.25">
      <c r="B11" s="2">
        <v>45693</v>
      </c>
      <c r="C11" s="3" t="s">
        <v>14</v>
      </c>
      <c r="D11" s="4" t="s">
        <v>15</v>
      </c>
      <c r="E11" s="3" t="s">
        <v>8</v>
      </c>
      <c r="F11" s="5">
        <v>198</v>
      </c>
      <c r="G11" s="5">
        <f>PRODUCT(F11 * 12%)</f>
        <v>23.759999999999998</v>
      </c>
      <c r="H11" s="5">
        <f t="shared" ref="H11:H17" si="0">SUM(F11:G11)</f>
        <v>221.76</v>
      </c>
    </row>
    <row r="12" spans="2:8" ht="30" x14ac:dyDescent="0.25">
      <c r="B12" s="2">
        <v>45693</v>
      </c>
      <c r="C12" s="3" t="s">
        <v>7</v>
      </c>
      <c r="D12" s="4" t="s">
        <v>16</v>
      </c>
      <c r="E12" s="3" t="s">
        <v>23</v>
      </c>
      <c r="F12" s="5">
        <v>35.71</v>
      </c>
      <c r="G12" s="5">
        <f t="shared" ref="G12:G16" si="1">PRODUCT(F12 * 12%)</f>
        <v>4.2851999999999997</v>
      </c>
      <c r="H12" s="5">
        <f t="shared" si="0"/>
        <v>39.995199999999997</v>
      </c>
    </row>
    <row r="13" spans="2:8" x14ac:dyDescent="0.25">
      <c r="B13" s="2">
        <v>45694</v>
      </c>
      <c r="C13" s="3" t="s">
        <v>17</v>
      </c>
      <c r="D13" s="4" t="s">
        <v>18</v>
      </c>
      <c r="E13" s="3" t="s">
        <v>19</v>
      </c>
      <c r="F13" s="5">
        <v>162</v>
      </c>
      <c r="G13" s="5">
        <f t="shared" si="1"/>
        <v>19.439999999999998</v>
      </c>
      <c r="H13" s="5">
        <f t="shared" si="0"/>
        <v>181.44</v>
      </c>
    </row>
    <row r="14" spans="2:8" x14ac:dyDescent="0.25">
      <c r="B14" s="2">
        <v>45695</v>
      </c>
      <c r="C14" s="3" t="s">
        <v>20</v>
      </c>
      <c r="D14" s="4" t="s">
        <v>21</v>
      </c>
      <c r="E14" s="3" t="s">
        <v>22</v>
      </c>
      <c r="F14" s="5">
        <v>86.79</v>
      </c>
      <c r="G14" s="5">
        <f t="shared" si="1"/>
        <v>10.4148</v>
      </c>
      <c r="H14" s="5">
        <f t="shared" si="0"/>
        <v>97.204800000000006</v>
      </c>
    </row>
    <row r="15" spans="2:8" x14ac:dyDescent="0.25">
      <c r="B15" s="2">
        <v>45698</v>
      </c>
      <c r="C15" s="3" t="s">
        <v>17</v>
      </c>
      <c r="D15" s="4" t="s">
        <v>25</v>
      </c>
      <c r="E15" s="3" t="s">
        <v>26</v>
      </c>
      <c r="F15" s="5">
        <v>55</v>
      </c>
      <c r="G15" s="5">
        <f t="shared" si="1"/>
        <v>6.6</v>
      </c>
      <c r="H15" s="5">
        <f t="shared" si="0"/>
        <v>61.6</v>
      </c>
    </row>
    <row r="16" spans="2:8" ht="30" x14ac:dyDescent="0.25">
      <c r="B16" s="2">
        <v>45703</v>
      </c>
      <c r="C16" s="3" t="s">
        <v>27</v>
      </c>
      <c r="D16" s="4" t="s">
        <v>28</v>
      </c>
      <c r="E16" s="3" t="s">
        <v>29</v>
      </c>
      <c r="F16" s="5">
        <v>84.82</v>
      </c>
      <c r="G16" s="5">
        <f t="shared" si="1"/>
        <v>10.178399999999998</v>
      </c>
      <c r="H16" s="5">
        <f t="shared" si="0"/>
        <v>94.99839999999999</v>
      </c>
    </row>
    <row r="17" spans="2:9" x14ac:dyDescent="0.25">
      <c r="B17" s="6"/>
      <c r="C17" s="7"/>
      <c r="D17" s="8" t="s">
        <v>6</v>
      </c>
      <c r="E17" s="9"/>
      <c r="F17" s="5">
        <f>SUM(F10:F16)</f>
        <v>801.31999999999994</v>
      </c>
      <c r="G17" s="5">
        <f>SUM(G10:G16)</f>
        <v>96.158399999999986</v>
      </c>
      <c r="H17" s="5">
        <f t="shared" si="0"/>
        <v>897.47839999999997</v>
      </c>
      <c r="I17" s="14"/>
    </row>
    <row r="18" spans="2:9" x14ac:dyDescent="0.25">
      <c r="C18" s="16"/>
      <c r="D18" s="16"/>
      <c r="E18" s="16"/>
      <c r="F18" s="16"/>
      <c r="G18" s="16"/>
      <c r="H18" s="16"/>
      <c r="I18" s="18"/>
    </row>
    <row r="19" spans="2:9" x14ac:dyDescent="0.25">
      <c r="C19" s="17"/>
      <c r="D19" s="17"/>
      <c r="E19" s="17"/>
      <c r="F19" s="17"/>
      <c r="G19" s="17"/>
      <c r="H19" s="17"/>
      <c r="I19" s="17"/>
    </row>
    <row r="20" spans="2:9" x14ac:dyDescent="0.25">
      <c r="C20" s="18"/>
      <c r="D20" s="18"/>
      <c r="E20" s="18"/>
      <c r="F20" s="18"/>
      <c r="G20" s="18"/>
      <c r="H20" s="18"/>
      <c r="I20" s="18"/>
    </row>
    <row r="21" spans="2:9" x14ac:dyDescent="0.25">
      <c r="B21" s="11"/>
      <c r="C21" s="11"/>
      <c r="D21" s="12"/>
      <c r="E21" s="11"/>
      <c r="F21" s="12"/>
      <c r="G21" s="11"/>
      <c r="H21" s="11"/>
      <c r="I21" s="13"/>
    </row>
    <row r="22" spans="2:9" x14ac:dyDescent="0.25">
      <c r="B22" s="16" t="s">
        <v>32</v>
      </c>
      <c r="C22" s="16"/>
      <c r="D22" s="12"/>
      <c r="E22" s="10" t="s">
        <v>30</v>
      </c>
      <c r="F22" s="15"/>
      <c r="G22" s="16" t="s">
        <v>31</v>
      </c>
      <c r="H22" s="16"/>
    </row>
    <row r="23" spans="2:9" x14ac:dyDescent="0.25">
      <c r="D23" s="15"/>
    </row>
  </sheetData>
  <mergeCells count="11">
    <mergeCell ref="B2:H2"/>
    <mergeCell ref="B4:H4"/>
    <mergeCell ref="B5:H5"/>
    <mergeCell ref="B6:H6"/>
    <mergeCell ref="G22:H22"/>
    <mergeCell ref="B22:C22"/>
    <mergeCell ref="B7:H7"/>
    <mergeCell ref="B8:H8"/>
    <mergeCell ref="C18:I18"/>
    <mergeCell ref="C19:I19"/>
    <mergeCell ref="C20:I20"/>
  </mergeCells>
  <pageMargins left="0.7" right="0.7" top="0.75" bottom="0.75" header="0.3" footer="0.3"/>
  <pageSetup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2025-06-13T01:27:05Z</cp:lastPrinted>
  <dcterms:created xsi:type="dcterms:W3CDTF">2025-06-13T00:27:41Z</dcterms:created>
  <dcterms:modified xsi:type="dcterms:W3CDTF">2025-06-13T01:31:01Z</dcterms:modified>
</cp:coreProperties>
</file>